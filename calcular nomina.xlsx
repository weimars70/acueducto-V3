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<sst xmlns="http://schemas.openxmlformats.org/spreadsheetml/2006/main" count="129" uniqueCount="41">
  <si>
    <t xml:space="preserve">ACUEDUCTO COMUNITARIO EL SOCORRO E.S.P.</t>
  </si>
  <si>
    <t xml:space="preserve">NOMINA DEL 01 AL 10 DE DICIEMBRE 2025</t>
  </si>
  <si>
    <t xml:space="preserve">NOMBRE DEL TRABAJADOR</t>
  </si>
  <si>
    <t xml:space="preserve">CEDULA</t>
  </si>
  <si>
    <t xml:space="preserve">SALARIO </t>
  </si>
  <si>
    <t xml:space="preserve">VALOR</t>
  </si>
  <si>
    <t xml:space="preserve">DIAS</t>
  </si>
  <si>
    <t xml:space="preserve">HORAS</t>
  </si>
  <si>
    <t xml:space="preserve">H.E.D</t>
  </si>
  <si>
    <t xml:space="preserve">H.E.F.</t>
  </si>
  <si>
    <t xml:space="preserve">VALOR </t>
  </si>
  <si>
    <t xml:space="preserve">Otros pagos</t>
  </si>
  <si>
    <t xml:space="preserve">TOTAL </t>
  </si>
  <si>
    <t xml:space="preserve">AUX TRANSPORTE </t>
  </si>
  <si>
    <t xml:space="preserve">DEDUC. SALUD</t>
  </si>
  <si>
    <t xml:space="preserve">DEDUC. PENSION </t>
  </si>
  <si>
    <t xml:space="preserve">OTRAS DEDUCCIONES</t>
  </si>
  <si>
    <t xml:space="preserve">TOTAL DEDUCIDO</t>
  </si>
  <si>
    <t xml:space="preserve">NETO A PAGAR</t>
  </si>
  <si>
    <t xml:space="preserve">NOMBRE TRABAJADOR</t>
  </si>
  <si>
    <t xml:space="preserve">MENSUAL</t>
  </si>
  <si>
    <t xml:space="preserve">HORA</t>
  </si>
  <si>
    <t xml:space="preserve">PAGOS</t>
  </si>
  <si>
    <t xml:space="preserve">BASICO</t>
  </si>
  <si>
    <t xml:space="preserve">EXTRAS</t>
  </si>
  <si>
    <t xml:space="preserve">INGRESOS</t>
  </si>
  <si>
    <t xml:space="preserve">DEVENGADO</t>
  </si>
  <si>
    <t xml:space="preserve">LILIANA MARIA CORREA PARRA</t>
  </si>
  <si>
    <t xml:space="preserve">LILIANA </t>
  </si>
  <si>
    <t xml:space="preserve">JOAQUIN EMILIO ZAPATA SERNA</t>
  </si>
  <si>
    <t xml:space="preserve">JOAQUIN </t>
  </si>
  <si>
    <t xml:space="preserve">DIONICIO MARIN GIRALDO</t>
  </si>
  <si>
    <t xml:space="preserve">DIONICIO</t>
  </si>
  <si>
    <t xml:space="preserve">MANUELA CANO SEPULVEDA</t>
  </si>
  <si>
    <t xml:space="preserve">MANUELA</t>
  </si>
  <si>
    <t xml:space="preserve">NOMINA DEL 11 AL 20 DE DICIEMBRE DE 2025</t>
  </si>
  <si>
    <t xml:space="preserve">NOMINA DEL 21 AL 31 DE DICIEMBRE DE 2025</t>
  </si>
  <si>
    <t xml:space="preserve">HORAS EXTRAS</t>
  </si>
  <si>
    <t xml:space="preserve">H.E.F</t>
  </si>
  <si>
    <t xml:space="preserve">LILIANA</t>
  </si>
  <si>
    <t xml:space="preserve">JOAQUIN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</si>
</sst>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0"/>
    <numFmt numFmtId="167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9"/>
      <name val="Arial"/>
      <family val="2"/>
      <charset val="1"/>
    </font>
    <font>
      <b val="true"/>
      <sz val="6"/>
      <name val="Arial"/>
      <family val="2"/>
      <charset val="1"/>
    </font>
    <font>
      <b val="true"/>
      <sz val="8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Calibri"/>
      <family val="2"/>
      <charset val="1"/>
    </font>
    <font>
      <sz val="10"/>
      <name val="Arial"/>
      <family val="2"/>
      <charset val="1"/>
    </font>
    <font>
      <sz val="10"/>
      <color rgb="FFFF0000"/>
      <name val="Arial"/>
      <family val="2"/>
      <charset val="1"/>
    </font>
    <font>
      <sz val="10"/>
      <color theme="1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4" tint="0.3999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29" activeCellId="0" sqref="K29:W39"/>
    </sheetView>
  </sheetViews>
  <sheetFormatPr defaultColWidth="10.453125" defaultRowHeight="15" customHeight="true" zeroHeight="false" outlineLevelRow="0" outlineLevelCol="0"/>
  <cols>
    <col collapsed="false" customWidth="true" hidden="false" outlineLevel="0" max="1" min="1" style="0" width="24.86"/>
    <col collapsed="false" customWidth="true" hidden="false" outlineLevel="0" max="2" min="2" style="0" width="13.71"/>
    <col collapsed="false" customWidth="true" hidden="false" outlineLevel="0" max="3" min="3" style="0" width="10.71"/>
    <col collapsed="false" customWidth="true" hidden="false" outlineLevel="0" max="4" min="4" style="0" width="10"/>
    <col collapsed="false" customWidth="true" hidden="false" outlineLevel="0" max="5" min="5" style="1" width="7"/>
    <col collapsed="false" customWidth="true" hidden="false" outlineLevel="0" max="6" min="6" style="2" width="7.57"/>
    <col collapsed="false" customWidth="true" hidden="false" outlineLevel="0" max="7" min="7" style="0" width="7.86"/>
    <col collapsed="false" customWidth="true" hidden="false" outlineLevel="0" max="8" min="8" style="0" width="8.15"/>
    <col collapsed="false" customWidth="true" hidden="false" outlineLevel="0" max="9" min="9" style="3" width="8"/>
    <col collapsed="false" customWidth="true" hidden="false" outlineLevel="0" max="10" min="10" style="0" width="5"/>
    <col collapsed="false" customWidth="true" hidden="false" outlineLevel="0" max="11" min="11" style="3" width="8.42"/>
    <col collapsed="false" customWidth="true" hidden="false" outlineLevel="0" max="12" min="12" style="3" width="9.14"/>
    <col collapsed="false" customWidth="true" hidden="false" outlineLevel="0" max="13" min="13" style="3" width="8.29"/>
    <col collapsed="false" customWidth="true" hidden="false" outlineLevel="0" max="18" min="14" style="0" width="9"/>
    <col collapsed="false" customWidth="true" hidden="false" outlineLevel="0" max="19" min="19" style="0" width="8.15"/>
    <col collapsed="false" customWidth="true" hidden="false" outlineLevel="0" max="20" min="20" style="0" width="8"/>
    <col collapsed="false" customWidth="true" hidden="false" outlineLevel="0" max="22" min="22" style="0" width="14.86"/>
    <col collapsed="false" customWidth="true" hidden="false" outlineLevel="0" max="23" min="23" style="0" width="12.42"/>
  </cols>
  <sheetData>
    <row r="1" customFormat="false" ht="19.7" hidden="false" customHeight="false" outlineLevel="0" collapsed="false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customFormat="false" ht="19.7" hidden="false" customHeight="false" outlineLevel="0" collapsed="false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customFormat="false" ht="15" hidden="false" customHeight="true" outlineLevel="0" collapsed="false">
      <c r="A3" s="5" t="s">
        <v>2</v>
      </c>
      <c r="B3" s="6" t="s">
        <v>3</v>
      </c>
      <c r="C3" s="7" t="s">
        <v>4</v>
      </c>
      <c r="D3" s="7" t="s">
        <v>5</v>
      </c>
      <c r="E3" s="8" t="s">
        <v>6</v>
      </c>
      <c r="F3" s="9" t="s">
        <v>7</v>
      </c>
      <c r="G3" s="10" t="s">
        <v>5</v>
      </c>
      <c r="H3" s="11" t="s">
        <v>8</v>
      </c>
      <c r="I3" s="10" t="s">
        <v>5</v>
      </c>
      <c r="J3" s="11" t="s">
        <v>9</v>
      </c>
      <c r="K3" s="12" t="s">
        <v>10</v>
      </c>
      <c r="L3" s="13" t="s">
        <v>11</v>
      </c>
      <c r="M3" s="13" t="s">
        <v>11</v>
      </c>
      <c r="N3" s="7" t="s">
        <v>12</v>
      </c>
      <c r="O3" s="14" t="s">
        <v>13</v>
      </c>
      <c r="P3" s="7" t="s">
        <v>12</v>
      </c>
      <c r="Q3" s="14" t="s">
        <v>14</v>
      </c>
      <c r="R3" s="15" t="s">
        <v>15</v>
      </c>
      <c r="S3" s="16" t="s">
        <v>16</v>
      </c>
      <c r="T3" s="15" t="s">
        <v>17</v>
      </c>
      <c r="U3" s="15" t="s">
        <v>18</v>
      </c>
      <c r="V3" s="17" t="s">
        <v>19</v>
      </c>
    </row>
    <row r="4" customFormat="false" ht="22" hidden="false" customHeight="false" outlineLevel="0" collapsed="false">
      <c r="A4" s="5"/>
      <c r="B4" s="6"/>
      <c r="C4" s="18" t="s">
        <v>20</v>
      </c>
      <c r="D4" s="18" t="s">
        <v>21</v>
      </c>
      <c r="E4" s="19" t="s">
        <v>22</v>
      </c>
      <c r="F4" s="9"/>
      <c r="G4" s="20" t="s">
        <v>23</v>
      </c>
      <c r="H4" s="11"/>
      <c r="I4" s="21" t="s">
        <v>24</v>
      </c>
      <c r="J4" s="11"/>
      <c r="K4" s="21" t="s">
        <v>24</v>
      </c>
      <c r="L4" s="13"/>
      <c r="M4" s="13"/>
      <c r="N4" s="18" t="s">
        <v>25</v>
      </c>
      <c r="O4" s="14"/>
      <c r="P4" s="22" t="s">
        <v>26</v>
      </c>
      <c r="Q4" s="14"/>
      <c r="R4" s="15"/>
      <c r="S4" s="16"/>
      <c r="T4" s="15"/>
      <c r="U4" s="15"/>
      <c r="V4" s="17"/>
    </row>
    <row r="5" s="34" customFormat="true" ht="15" hidden="false" customHeight="false" outlineLevel="0" collapsed="false">
      <c r="A5" s="23" t="s">
        <v>27</v>
      </c>
      <c r="B5" s="24" t="n">
        <v>43740653</v>
      </c>
      <c r="C5" s="25" t="n">
        <v>2250000</v>
      </c>
      <c r="D5" s="26" t="n">
        <f aca="false">C5/220</f>
        <v>10227.2727272727</v>
      </c>
      <c r="E5" s="27" t="n">
        <v>0</v>
      </c>
      <c r="F5" s="28" t="n">
        <f aca="false">E5*7.33</f>
        <v>0</v>
      </c>
      <c r="G5" s="25" t="n">
        <f aca="false">C5/30*10</f>
        <v>750000</v>
      </c>
      <c r="H5" s="29" t="n">
        <v>0</v>
      </c>
      <c r="I5" s="27" t="n">
        <f aca="false">D5*H5*125%</f>
        <v>0</v>
      </c>
      <c r="J5" s="30" t="n">
        <v>0</v>
      </c>
      <c r="K5" s="27" t="n">
        <f aca="false">D5*J5*205%</f>
        <v>0</v>
      </c>
      <c r="L5" s="27" t="n">
        <v>0</v>
      </c>
      <c r="M5" s="27" t="n">
        <v>0</v>
      </c>
      <c r="N5" s="25" t="n">
        <f aca="false">+G5+I5+K5+L5+M5</f>
        <v>750000</v>
      </c>
      <c r="O5" s="25" t="n">
        <f aca="false">200000/30*E5</f>
        <v>0</v>
      </c>
      <c r="P5" s="25" t="n">
        <f aca="false">N5+O5</f>
        <v>750000</v>
      </c>
      <c r="Q5" s="25" t="n">
        <f aca="false">N5*4%</f>
        <v>30000</v>
      </c>
      <c r="R5" s="25" t="n">
        <f aca="false">+N5*4%</f>
        <v>30000</v>
      </c>
      <c r="S5" s="31" t="n">
        <v>50000</v>
      </c>
      <c r="T5" s="25" t="n">
        <f aca="false">+Q5+R5+S5</f>
        <v>110000</v>
      </c>
      <c r="U5" s="32" t="n">
        <f aca="false">+P5-T5</f>
        <v>640000</v>
      </c>
      <c r="V5" s="33" t="s">
        <v>28</v>
      </c>
    </row>
    <row r="6" s="34" customFormat="true" ht="15" hidden="false" customHeight="false" outlineLevel="0" collapsed="false">
      <c r="A6" s="35" t="s">
        <v>29</v>
      </c>
      <c r="B6" s="24" t="n">
        <v>70564400</v>
      </c>
      <c r="C6" s="25" t="n">
        <v>1950000</v>
      </c>
      <c r="D6" s="36" t="n">
        <f aca="false">C6/220</f>
        <v>8863.63636363636</v>
      </c>
      <c r="E6" s="27" t="n">
        <v>0</v>
      </c>
      <c r="F6" s="28" t="n">
        <f aca="false">E6*7.33</f>
        <v>0</v>
      </c>
      <c r="G6" s="25" t="n">
        <f aca="false">C6/30*10</f>
        <v>650000</v>
      </c>
      <c r="H6" s="37" t="n">
        <v>0</v>
      </c>
      <c r="I6" s="27" t="n">
        <f aca="false">D6*H6*125%</f>
        <v>0</v>
      </c>
      <c r="J6" s="27" t="n">
        <v>0</v>
      </c>
      <c r="K6" s="27" t="n">
        <f aca="false">D6*J6*180%</f>
        <v>0</v>
      </c>
      <c r="L6" s="27" t="n">
        <v>0</v>
      </c>
      <c r="M6" s="27" t="n">
        <v>0</v>
      </c>
      <c r="N6" s="25" t="n">
        <f aca="false">+G6+I6+K6+L6+M6</f>
        <v>650000</v>
      </c>
      <c r="O6" s="25" t="n">
        <f aca="false">200000/30*E6</f>
        <v>0</v>
      </c>
      <c r="P6" s="25" t="n">
        <f aca="false">N6+O6</f>
        <v>650000</v>
      </c>
      <c r="Q6" s="25" t="n">
        <f aca="false">N6*4%</f>
        <v>26000</v>
      </c>
      <c r="R6" s="25" t="n">
        <f aca="false">N6*4%</f>
        <v>26000</v>
      </c>
      <c r="S6" s="31" t="n">
        <v>50000</v>
      </c>
      <c r="T6" s="25" t="n">
        <f aca="false">+Q6+R6+S6</f>
        <v>102000</v>
      </c>
      <c r="U6" s="25" t="n">
        <f aca="false">+P6-T6</f>
        <v>548000</v>
      </c>
      <c r="V6" s="33" t="s">
        <v>30</v>
      </c>
    </row>
    <row r="7" s="34" customFormat="true" ht="15" hidden="false" customHeight="false" outlineLevel="0" collapsed="false">
      <c r="A7" s="35" t="s">
        <v>31</v>
      </c>
      <c r="B7" s="24" t="n">
        <v>71396904</v>
      </c>
      <c r="C7" s="25" t="n">
        <v>2500000</v>
      </c>
      <c r="D7" s="36" t="n">
        <f aca="false">C7/220</f>
        <v>11363.6363636364</v>
      </c>
      <c r="E7" s="27" t="n">
        <v>0</v>
      </c>
      <c r="F7" s="28" t="n">
        <f aca="false">E7*7.33</f>
        <v>0</v>
      </c>
      <c r="G7" s="25" t="n">
        <f aca="false">C7/30*10</f>
        <v>833333.333333333</v>
      </c>
      <c r="H7" s="37" t="n">
        <v>0</v>
      </c>
      <c r="I7" s="27" t="n">
        <f aca="false">D7*H7*125%</f>
        <v>0</v>
      </c>
      <c r="J7" s="27" t="n">
        <v>0</v>
      </c>
      <c r="K7" s="27" t="n">
        <f aca="false">D7*J7*180%</f>
        <v>0</v>
      </c>
      <c r="L7" s="27" t="n">
        <v>0</v>
      </c>
      <c r="M7" s="27" t="n">
        <v>0</v>
      </c>
      <c r="N7" s="25" t="n">
        <f aca="false">+G7+I7+K7+L7+M7</f>
        <v>833333.333333333</v>
      </c>
      <c r="O7" s="25" t="n">
        <f aca="false">200000/30*E7</f>
        <v>0</v>
      </c>
      <c r="P7" s="25" t="n">
        <f aca="false">N7+O7</f>
        <v>833333.333333333</v>
      </c>
      <c r="Q7" s="25" t="n">
        <f aca="false">N7*4%</f>
        <v>33333.3333333333</v>
      </c>
      <c r="R7" s="25" t="n">
        <f aca="false">N7*4%</f>
        <v>33333.3333333333</v>
      </c>
      <c r="S7" s="31" t="n">
        <v>350000</v>
      </c>
      <c r="T7" s="25" t="n">
        <f aca="false">+Q7+R7+S7</f>
        <v>416666.666666667</v>
      </c>
      <c r="U7" s="25" t="n">
        <f aca="false">+P7-T7</f>
        <v>416666.666666667</v>
      </c>
      <c r="V7" s="33" t="s">
        <v>32</v>
      </c>
      <c r="X7" s="38"/>
    </row>
    <row r="8" s="34" customFormat="true" ht="15" hidden="false" customHeight="false" outlineLevel="0" collapsed="false">
      <c r="A8" s="35" t="s">
        <v>33</v>
      </c>
      <c r="B8" s="24" t="n">
        <v>1007310585</v>
      </c>
      <c r="C8" s="25" t="n">
        <v>1423500</v>
      </c>
      <c r="D8" s="36" t="n">
        <f aca="false">C8/220</f>
        <v>6470.45454545455</v>
      </c>
      <c r="E8" s="27" t="n">
        <v>0</v>
      </c>
      <c r="F8" s="28" t="n">
        <f aca="false">E8*7.33</f>
        <v>0</v>
      </c>
      <c r="G8" s="25" t="n">
        <f aca="false">C8/30*10</f>
        <v>474500</v>
      </c>
      <c r="H8" s="37" t="n">
        <v>0</v>
      </c>
      <c r="I8" s="27" t="n">
        <f aca="false">D8*H8*125%</f>
        <v>0</v>
      </c>
      <c r="J8" s="27" t="n">
        <v>0</v>
      </c>
      <c r="K8" s="27" t="n">
        <f aca="false">D8*J8*205%</f>
        <v>0</v>
      </c>
      <c r="L8" s="27" t="n">
        <v>0</v>
      </c>
      <c r="M8" s="27" t="n">
        <v>0</v>
      </c>
      <c r="N8" s="25" t="n">
        <f aca="false">+G8+I8+K8+L8+M8</f>
        <v>474500</v>
      </c>
      <c r="O8" s="25" t="n">
        <f aca="false">200000/30*E8</f>
        <v>0</v>
      </c>
      <c r="P8" s="25" t="n">
        <f aca="false">N8+O8</f>
        <v>474500</v>
      </c>
      <c r="Q8" s="25" t="n">
        <f aca="false">N8*4%</f>
        <v>18980</v>
      </c>
      <c r="R8" s="25" t="n">
        <f aca="false">N8*4%</f>
        <v>18980</v>
      </c>
      <c r="S8" s="31" t="n">
        <v>50000</v>
      </c>
      <c r="T8" s="25" t="n">
        <f aca="false">+Q8+R8+S8</f>
        <v>87960</v>
      </c>
      <c r="U8" s="25" t="n">
        <f aca="false">+P8-T8</f>
        <v>386540</v>
      </c>
      <c r="V8" s="33" t="s">
        <v>34</v>
      </c>
    </row>
    <row r="9" customFormat="false" ht="19.7" hidden="false" customHeight="false" outlineLevel="0" collapsed="false">
      <c r="A9" s="4" t="s">
        <v>0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customFormat="false" ht="19.7" hidden="false" customHeight="false" outlineLevel="0" collapsed="false">
      <c r="A10" s="4" t="s">
        <v>35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customFormat="false" ht="15" hidden="false" customHeight="true" outlineLevel="0" collapsed="false">
      <c r="A11" s="5" t="s">
        <v>2</v>
      </c>
      <c r="B11" s="6" t="s">
        <v>3</v>
      </c>
      <c r="C11" s="7" t="s">
        <v>4</v>
      </c>
      <c r="D11" s="7" t="s">
        <v>5</v>
      </c>
      <c r="E11" s="8" t="s">
        <v>6</v>
      </c>
      <c r="F11" s="9" t="s">
        <v>7</v>
      </c>
      <c r="G11" s="10" t="s">
        <v>5</v>
      </c>
      <c r="H11" s="11" t="s">
        <v>8</v>
      </c>
      <c r="I11" s="10" t="s">
        <v>5</v>
      </c>
      <c r="J11" s="11" t="s">
        <v>9</v>
      </c>
      <c r="K11" s="12" t="s">
        <v>10</v>
      </c>
      <c r="L11" s="13" t="s">
        <v>11</v>
      </c>
      <c r="M11" s="13" t="s">
        <v>11</v>
      </c>
      <c r="N11" s="7" t="s">
        <v>12</v>
      </c>
      <c r="O11" s="14" t="s">
        <v>13</v>
      </c>
      <c r="P11" s="7" t="s">
        <v>12</v>
      </c>
      <c r="Q11" s="14" t="s">
        <v>14</v>
      </c>
      <c r="R11" s="15" t="s">
        <v>15</v>
      </c>
      <c r="S11" s="16" t="s">
        <v>16</v>
      </c>
      <c r="T11" s="15" t="s">
        <v>17</v>
      </c>
      <c r="U11" s="15" t="s">
        <v>18</v>
      </c>
      <c r="V11" s="17" t="s">
        <v>19</v>
      </c>
    </row>
    <row r="12" customFormat="false" ht="22" hidden="false" customHeight="false" outlineLevel="0" collapsed="false">
      <c r="A12" s="5"/>
      <c r="B12" s="6"/>
      <c r="C12" s="18" t="s">
        <v>20</v>
      </c>
      <c r="D12" s="18" t="s">
        <v>21</v>
      </c>
      <c r="E12" s="19" t="s">
        <v>22</v>
      </c>
      <c r="F12" s="9"/>
      <c r="G12" s="20" t="s">
        <v>23</v>
      </c>
      <c r="H12" s="11"/>
      <c r="I12" s="21" t="s">
        <v>24</v>
      </c>
      <c r="J12" s="11"/>
      <c r="K12" s="21" t="s">
        <v>24</v>
      </c>
      <c r="L12" s="13"/>
      <c r="M12" s="13"/>
      <c r="N12" s="18" t="s">
        <v>25</v>
      </c>
      <c r="O12" s="14"/>
      <c r="P12" s="22" t="s">
        <v>26</v>
      </c>
      <c r="Q12" s="14"/>
      <c r="R12" s="15"/>
      <c r="S12" s="16"/>
      <c r="T12" s="15"/>
      <c r="U12" s="15"/>
      <c r="V12" s="17"/>
    </row>
    <row r="13" s="34" customFormat="true" ht="15" hidden="false" customHeight="false" outlineLevel="0" collapsed="false">
      <c r="A13" s="23" t="s">
        <v>27</v>
      </c>
      <c r="B13" s="24" t="n">
        <v>43740653</v>
      </c>
      <c r="C13" s="25" t="n">
        <v>2250000</v>
      </c>
      <c r="D13" s="26" t="n">
        <f aca="false">C13/220</f>
        <v>10227.2727272727</v>
      </c>
      <c r="E13" s="27" t="n">
        <v>0</v>
      </c>
      <c r="F13" s="28" t="n">
        <f aca="false">E13*7.33</f>
        <v>0</v>
      </c>
      <c r="G13" s="25" t="n">
        <f aca="false">C13/30*10</f>
        <v>750000</v>
      </c>
      <c r="H13" s="29" t="n">
        <v>0</v>
      </c>
      <c r="I13" s="27" t="n">
        <f aca="false">D13*H13*125%</f>
        <v>0</v>
      </c>
      <c r="J13" s="30" t="n">
        <v>0</v>
      </c>
      <c r="K13" s="27" t="n">
        <f aca="false">D13*J13*205%</f>
        <v>0</v>
      </c>
      <c r="L13" s="27" t="n">
        <v>0</v>
      </c>
      <c r="M13" s="27" t="n">
        <v>0</v>
      </c>
      <c r="N13" s="25" t="n">
        <f aca="false">+G13+I13+K13+L13+M13</f>
        <v>750000</v>
      </c>
      <c r="O13" s="25" t="n">
        <f aca="false">200000/30*E13</f>
        <v>0</v>
      </c>
      <c r="P13" s="25" t="n">
        <f aca="false">N13+O13</f>
        <v>750000</v>
      </c>
      <c r="Q13" s="25" t="n">
        <f aca="false">N13*4%</f>
        <v>30000</v>
      </c>
      <c r="R13" s="25" t="n">
        <f aca="false">+N13*4%</f>
        <v>30000</v>
      </c>
      <c r="S13" s="31" t="n">
        <v>50000</v>
      </c>
      <c r="T13" s="25" t="n">
        <f aca="false">+Q13+R13+S13</f>
        <v>110000</v>
      </c>
      <c r="U13" s="25" t="n">
        <f aca="false">+P13-T13</f>
        <v>640000</v>
      </c>
      <c r="V13" s="33" t="s">
        <v>28</v>
      </c>
    </row>
    <row r="14" s="34" customFormat="true" ht="15" hidden="false" customHeight="false" outlineLevel="0" collapsed="false">
      <c r="A14" s="35" t="s">
        <v>29</v>
      </c>
      <c r="B14" s="24" t="n">
        <v>70564400</v>
      </c>
      <c r="C14" s="25" t="n">
        <v>1950000</v>
      </c>
      <c r="D14" s="36" t="n">
        <f aca="false">C14/220</f>
        <v>8863.63636363636</v>
      </c>
      <c r="E14" s="27" t="n">
        <v>0</v>
      </c>
      <c r="F14" s="28" t="n">
        <f aca="false">E14*7.33</f>
        <v>0</v>
      </c>
      <c r="G14" s="25" t="n">
        <f aca="false">C14/30*10</f>
        <v>650000</v>
      </c>
      <c r="H14" s="37" t="n">
        <v>0</v>
      </c>
      <c r="I14" s="27" t="n">
        <f aca="false">D14*H14*125%</f>
        <v>0</v>
      </c>
      <c r="J14" s="27" t="n">
        <v>0</v>
      </c>
      <c r="K14" s="27" t="n">
        <f aca="false">D14*J14*180%</f>
        <v>0</v>
      </c>
      <c r="L14" s="27" t="n">
        <v>0</v>
      </c>
      <c r="M14" s="27" t="n">
        <v>0</v>
      </c>
      <c r="N14" s="25" t="n">
        <f aca="false">+G14+I14+K14+L14+M14</f>
        <v>650000</v>
      </c>
      <c r="O14" s="25" t="n">
        <f aca="false">200000/30*E14</f>
        <v>0</v>
      </c>
      <c r="P14" s="25" t="n">
        <f aca="false">N14+O14</f>
        <v>650000</v>
      </c>
      <c r="Q14" s="25" t="n">
        <f aca="false">N14*4%</f>
        <v>26000</v>
      </c>
      <c r="R14" s="25" t="n">
        <f aca="false">N14*4%</f>
        <v>26000</v>
      </c>
      <c r="S14" s="31" t="n">
        <v>50000</v>
      </c>
      <c r="T14" s="25" t="n">
        <f aca="false">+Q14+R14+S14</f>
        <v>102000</v>
      </c>
      <c r="U14" s="25" t="n">
        <f aca="false">+P14-T14</f>
        <v>548000</v>
      </c>
      <c r="V14" s="33" t="s">
        <v>30</v>
      </c>
      <c r="W14" s="39"/>
    </row>
    <row r="15" s="34" customFormat="true" ht="15" hidden="false" customHeight="false" outlineLevel="0" collapsed="false">
      <c r="A15" s="35" t="s">
        <v>31</v>
      </c>
      <c r="B15" s="24" t="n">
        <v>71396904</v>
      </c>
      <c r="C15" s="25" t="n">
        <v>2500000</v>
      </c>
      <c r="D15" s="36" t="n">
        <f aca="false">C15/220</f>
        <v>11363.6363636364</v>
      </c>
      <c r="E15" s="27" t="n">
        <v>0</v>
      </c>
      <c r="F15" s="28" t="n">
        <f aca="false">E15*7.33</f>
        <v>0</v>
      </c>
      <c r="G15" s="25" t="n">
        <f aca="false">C15/30*10</f>
        <v>833333.333333333</v>
      </c>
      <c r="H15" s="37" t="n">
        <v>0</v>
      </c>
      <c r="I15" s="27" t="n">
        <f aca="false">D15*H15*125%</f>
        <v>0</v>
      </c>
      <c r="J15" s="27" t="n">
        <v>0</v>
      </c>
      <c r="K15" s="27" t="n">
        <f aca="false">D15*J15*180%</f>
        <v>0</v>
      </c>
      <c r="L15" s="27" t="n">
        <v>0</v>
      </c>
      <c r="M15" s="27" t="n">
        <v>0</v>
      </c>
      <c r="N15" s="25" t="n">
        <f aca="false">+G15+I15+K15+L15+M15</f>
        <v>833333.333333333</v>
      </c>
      <c r="O15" s="25" t="n">
        <f aca="false">200000/30*E15</f>
        <v>0</v>
      </c>
      <c r="P15" s="25" t="n">
        <f aca="false">N15+O15</f>
        <v>833333.333333333</v>
      </c>
      <c r="Q15" s="25" t="n">
        <f aca="false">N15*4%</f>
        <v>33333.3333333333</v>
      </c>
      <c r="R15" s="25" t="n">
        <f aca="false">N15*4%</f>
        <v>33333.3333333333</v>
      </c>
      <c r="S15" s="31" t="n">
        <v>350000</v>
      </c>
      <c r="T15" s="25" t="n">
        <f aca="false">+Q15+R15+S15</f>
        <v>416666.666666667</v>
      </c>
      <c r="U15" s="25" t="n">
        <f aca="false">+P15-T15</f>
        <v>416666.666666667</v>
      </c>
      <c r="V15" s="33" t="s">
        <v>32</v>
      </c>
    </row>
    <row r="16" s="34" customFormat="true" ht="15" hidden="false" customHeight="false" outlineLevel="0" collapsed="false">
      <c r="A16" s="35" t="s">
        <v>33</v>
      </c>
      <c r="B16" s="24" t="n">
        <v>1007310585</v>
      </c>
      <c r="C16" s="25" t="n">
        <v>1423500</v>
      </c>
      <c r="D16" s="36" t="n">
        <f aca="false">C16/220</f>
        <v>6470.45454545455</v>
      </c>
      <c r="E16" s="27" t="n">
        <v>0</v>
      </c>
      <c r="F16" s="28" t="n">
        <f aca="false">E16*7.33</f>
        <v>0</v>
      </c>
      <c r="G16" s="25" t="n">
        <f aca="false">C16/30*10</f>
        <v>474500</v>
      </c>
      <c r="H16" s="37" t="n">
        <v>0</v>
      </c>
      <c r="I16" s="27" t="n">
        <f aca="false">D16*H16*125%</f>
        <v>0</v>
      </c>
      <c r="J16" s="27" t="n">
        <v>0</v>
      </c>
      <c r="K16" s="27" t="n">
        <f aca="false">D16*J16*205%</f>
        <v>0</v>
      </c>
      <c r="L16" s="27" t="n">
        <v>0</v>
      </c>
      <c r="M16" s="27" t="n">
        <v>0</v>
      </c>
      <c r="N16" s="25" t="n">
        <f aca="false">+G16+I16+K16+L16+M16</f>
        <v>474500</v>
      </c>
      <c r="O16" s="25" t="n">
        <f aca="false">200000/30*E16</f>
        <v>0</v>
      </c>
      <c r="P16" s="25" t="n">
        <f aca="false">N16+O16</f>
        <v>474500</v>
      </c>
      <c r="Q16" s="25" t="n">
        <f aca="false">N16*4%</f>
        <v>18980</v>
      </c>
      <c r="R16" s="25" t="n">
        <f aca="false">N16*4%</f>
        <v>18980</v>
      </c>
      <c r="S16" s="31" t="n">
        <v>50000</v>
      </c>
      <c r="T16" s="25" t="n">
        <f aca="false">+Q16+R16+S16</f>
        <v>87960</v>
      </c>
      <c r="U16" s="25" t="n">
        <f aca="false">+P16-T16</f>
        <v>386540</v>
      </c>
      <c r="V16" s="33" t="s">
        <v>34</v>
      </c>
    </row>
    <row r="17" customFormat="false" ht="19.7" hidden="false" customHeight="false" outlineLevel="0" collapsed="false">
      <c r="A17" s="4" t="s">
        <v>0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customFormat="false" ht="19.7" hidden="false" customHeight="false" outlineLevel="0" collapsed="false">
      <c r="A18" s="4" t="s">
        <v>36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customFormat="false" ht="15" hidden="false" customHeight="true" outlineLevel="0" collapsed="false">
      <c r="A19" s="5" t="s">
        <v>2</v>
      </c>
      <c r="B19" s="6" t="s">
        <v>3</v>
      </c>
      <c r="C19" s="7" t="s">
        <v>4</v>
      </c>
      <c r="D19" s="7" t="s">
        <v>5</v>
      </c>
      <c r="E19" s="8" t="s">
        <v>6</v>
      </c>
      <c r="F19" s="9" t="s">
        <v>7</v>
      </c>
      <c r="G19" s="10" t="s">
        <v>5</v>
      </c>
      <c r="H19" s="11" t="s">
        <v>8</v>
      </c>
      <c r="I19" s="10" t="s">
        <v>5</v>
      </c>
      <c r="J19" s="11" t="s">
        <v>9</v>
      </c>
      <c r="K19" s="12" t="s">
        <v>10</v>
      </c>
      <c r="L19" s="13" t="s">
        <v>11</v>
      </c>
      <c r="M19" s="13" t="s">
        <v>11</v>
      </c>
      <c r="N19" s="7" t="s">
        <v>12</v>
      </c>
      <c r="O19" s="14" t="s">
        <v>13</v>
      </c>
      <c r="P19" s="7" t="s">
        <v>12</v>
      </c>
      <c r="Q19" s="14" t="s">
        <v>14</v>
      </c>
      <c r="R19" s="15" t="s">
        <v>15</v>
      </c>
      <c r="S19" s="16" t="s">
        <v>16</v>
      </c>
      <c r="T19" s="15" t="s">
        <v>17</v>
      </c>
      <c r="U19" s="15" t="s">
        <v>18</v>
      </c>
      <c r="V19" s="17" t="s">
        <v>19</v>
      </c>
    </row>
    <row r="20" customFormat="false" ht="22" hidden="false" customHeight="false" outlineLevel="0" collapsed="false">
      <c r="A20" s="5"/>
      <c r="B20" s="6"/>
      <c r="C20" s="18" t="s">
        <v>20</v>
      </c>
      <c r="D20" s="18" t="s">
        <v>21</v>
      </c>
      <c r="E20" s="19" t="s">
        <v>22</v>
      </c>
      <c r="F20" s="9"/>
      <c r="G20" s="20" t="s">
        <v>23</v>
      </c>
      <c r="H20" s="11"/>
      <c r="I20" s="21" t="s">
        <v>24</v>
      </c>
      <c r="J20" s="11"/>
      <c r="K20" s="21" t="s">
        <v>24</v>
      </c>
      <c r="L20" s="13"/>
      <c r="M20" s="13"/>
      <c r="N20" s="18" t="s">
        <v>25</v>
      </c>
      <c r="O20" s="14"/>
      <c r="P20" s="22" t="s">
        <v>26</v>
      </c>
      <c r="Q20" s="14"/>
      <c r="R20" s="15"/>
      <c r="S20" s="16"/>
      <c r="T20" s="15"/>
      <c r="U20" s="15"/>
      <c r="V20" s="17"/>
    </row>
    <row r="21" s="34" customFormat="true" ht="15" hidden="false" customHeight="false" outlineLevel="0" collapsed="false">
      <c r="A21" s="23" t="s">
        <v>27</v>
      </c>
      <c r="B21" s="24" t="n">
        <v>43740653</v>
      </c>
      <c r="C21" s="25" t="n">
        <v>2250000</v>
      </c>
      <c r="D21" s="26" t="n">
        <f aca="false">C21/220</f>
        <v>10227.2727272727</v>
      </c>
      <c r="E21" s="27" t="n">
        <v>0</v>
      </c>
      <c r="F21" s="28" t="n">
        <f aca="false">E21*7.33</f>
        <v>0</v>
      </c>
      <c r="G21" s="25" t="n">
        <f aca="false">C21/30*10</f>
        <v>750000</v>
      </c>
      <c r="H21" s="29" t="n">
        <v>0</v>
      </c>
      <c r="I21" s="27" t="n">
        <f aca="false">D21*H21*125%</f>
        <v>0</v>
      </c>
      <c r="J21" s="30" t="n">
        <v>0</v>
      </c>
      <c r="K21" s="27" t="n">
        <f aca="false">D21*J21*205%</f>
        <v>0</v>
      </c>
      <c r="L21" s="27" t="n">
        <v>0</v>
      </c>
      <c r="M21" s="27" t="n">
        <v>0</v>
      </c>
      <c r="N21" s="25" t="n">
        <f aca="false">+G21+I21+K21+L21+M21</f>
        <v>750000</v>
      </c>
      <c r="O21" s="25" t="n">
        <f aca="false">200000/30*E21</f>
        <v>0</v>
      </c>
      <c r="P21" s="25" t="n">
        <f aca="false">N21+O21</f>
        <v>750000</v>
      </c>
      <c r="Q21" s="25" t="n">
        <f aca="false">N21*4%</f>
        <v>30000</v>
      </c>
      <c r="R21" s="25" t="n">
        <f aca="false">N21*4%</f>
        <v>30000</v>
      </c>
      <c r="S21" s="31" t="n">
        <v>50000</v>
      </c>
      <c r="T21" s="25" t="n">
        <f aca="false">+Q21+R21+S21</f>
        <v>110000</v>
      </c>
      <c r="U21" s="25" t="n">
        <f aca="false">+P21-T21</f>
        <v>640000</v>
      </c>
      <c r="V21" s="33" t="s">
        <v>28</v>
      </c>
    </row>
    <row r="22" s="34" customFormat="true" ht="15" hidden="false" customHeight="false" outlineLevel="0" collapsed="false">
      <c r="A22" s="35" t="s">
        <v>29</v>
      </c>
      <c r="B22" s="24" t="n">
        <v>70564400</v>
      </c>
      <c r="C22" s="25" t="n">
        <v>1950000</v>
      </c>
      <c r="D22" s="36" t="n">
        <f aca="false">C22/220</f>
        <v>8863.63636363636</v>
      </c>
      <c r="E22" s="27" t="n">
        <v>0</v>
      </c>
      <c r="F22" s="28" t="n">
        <f aca="false">E22*7.33</f>
        <v>0</v>
      </c>
      <c r="G22" s="25" t="n">
        <f aca="false">C22/30*10</f>
        <v>650000</v>
      </c>
      <c r="H22" s="37" t="n">
        <v>0</v>
      </c>
      <c r="I22" s="27" t="n">
        <f aca="false">D22*H22*125%</f>
        <v>0</v>
      </c>
      <c r="J22" s="27" t="n">
        <v>0</v>
      </c>
      <c r="K22" s="27" t="n">
        <f aca="false">D22*J22*180%</f>
        <v>0</v>
      </c>
      <c r="L22" s="27" t="n">
        <v>0</v>
      </c>
      <c r="M22" s="27" t="n">
        <v>0</v>
      </c>
      <c r="N22" s="25" t="n">
        <f aca="false">+G22+I22+K22+L22+M22</f>
        <v>650000</v>
      </c>
      <c r="O22" s="25" t="n">
        <f aca="false">200000/30*E22</f>
        <v>0</v>
      </c>
      <c r="P22" s="25" t="n">
        <f aca="false">N22+O22</f>
        <v>650000</v>
      </c>
      <c r="Q22" s="25" t="n">
        <f aca="false">N22*4%</f>
        <v>26000</v>
      </c>
      <c r="R22" s="25" t="n">
        <f aca="false">N22*4%</f>
        <v>26000</v>
      </c>
      <c r="S22" s="40" t="n">
        <v>50000</v>
      </c>
      <c r="T22" s="25" t="n">
        <f aca="false">+Q22+R22+S22</f>
        <v>102000</v>
      </c>
      <c r="U22" s="25" t="n">
        <f aca="false">+P22-T22</f>
        <v>548000</v>
      </c>
      <c r="V22" s="33" t="s">
        <v>30</v>
      </c>
    </row>
    <row r="23" s="34" customFormat="true" ht="15" hidden="false" customHeight="false" outlineLevel="0" collapsed="false">
      <c r="A23" s="35" t="s">
        <v>31</v>
      </c>
      <c r="B23" s="24" t="n">
        <v>71396904</v>
      </c>
      <c r="C23" s="25" t="n">
        <v>2500000</v>
      </c>
      <c r="D23" s="36" t="n">
        <f aca="false">C23/220</f>
        <v>11363.6363636364</v>
      </c>
      <c r="E23" s="27" t="n">
        <v>0</v>
      </c>
      <c r="F23" s="28" t="n">
        <f aca="false">E23*7.33</f>
        <v>0</v>
      </c>
      <c r="G23" s="25" t="n">
        <f aca="false">C23/30*10</f>
        <v>833333.333333333</v>
      </c>
      <c r="H23" s="37" t="n">
        <v>0</v>
      </c>
      <c r="I23" s="27" t="n">
        <f aca="false">D23*H23*125%</f>
        <v>0</v>
      </c>
      <c r="J23" s="27" t="n">
        <v>0</v>
      </c>
      <c r="K23" s="27" t="n">
        <f aca="false">D23*J23*180%</f>
        <v>0</v>
      </c>
      <c r="L23" s="27" t="n">
        <v>0</v>
      </c>
      <c r="M23" s="27" t="n">
        <v>0</v>
      </c>
      <c r="N23" s="25" t="n">
        <f aca="false">+G23+I23+K23+L23+M23</f>
        <v>833333.333333333</v>
      </c>
      <c r="O23" s="25" t="n">
        <f aca="false">200000/30*E23</f>
        <v>0</v>
      </c>
      <c r="P23" s="25" t="n">
        <f aca="false">N23+O23</f>
        <v>833333.333333333</v>
      </c>
      <c r="Q23" s="25" t="n">
        <f aca="false">N23*4%</f>
        <v>33333.3333333333</v>
      </c>
      <c r="R23" s="25" t="n">
        <f aca="false">N23*4%</f>
        <v>33333.3333333333</v>
      </c>
      <c r="S23" s="31" t="n">
        <v>350000</v>
      </c>
      <c r="T23" s="25" t="n">
        <f aca="false">+Q23+R23+S23</f>
        <v>416666.666666667</v>
      </c>
      <c r="U23" s="25" t="n">
        <f aca="false">+P23-T23</f>
        <v>416666.666666667</v>
      </c>
      <c r="V23" s="33" t="s">
        <v>32</v>
      </c>
    </row>
    <row r="24" s="34" customFormat="true" ht="15" hidden="false" customHeight="false" outlineLevel="0" collapsed="false">
      <c r="A24" s="35" t="s">
        <v>33</v>
      </c>
      <c r="B24" s="24" t="n">
        <v>1007310585</v>
      </c>
      <c r="C24" s="25" t="n">
        <v>1423500</v>
      </c>
      <c r="D24" s="36" t="n">
        <f aca="false">C24/220</f>
        <v>6470.45454545455</v>
      </c>
      <c r="E24" s="27" t="n">
        <v>0</v>
      </c>
      <c r="F24" s="28" t="n">
        <f aca="false">E24*7.33</f>
        <v>0</v>
      </c>
      <c r="G24" s="25" t="n">
        <f aca="false">C24/30*10</f>
        <v>474500</v>
      </c>
      <c r="H24" s="37" t="n">
        <v>0</v>
      </c>
      <c r="I24" s="27" t="n">
        <f aca="false">D24*H24*125%</f>
        <v>0</v>
      </c>
      <c r="J24" s="27" t="n">
        <v>0</v>
      </c>
      <c r="K24" s="27" t="n">
        <f aca="false">D24*J24*205%</f>
        <v>0</v>
      </c>
      <c r="L24" s="27" t="n">
        <v>0</v>
      </c>
      <c r="M24" s="27" t="n">
        <v>0</v>
      </c>
      <c r="N24" s="25" t="n">
        <f aca="false">+G24+I24+K24+L24+M24</f>
        <v>474500</v>
      </c>
      <c r="O24" s="25" t="n">
        <f aca="false">200000/30*E24</f>
        <v>0</v>
      </c>
      <c r="P24" s="25" t="n">
        <f aca="false">N24+O24</f>
        <v>474500</v>
      </c>
      <c r="Q24" s="25" t="n">
        <f aca="false">N24*4%</f>
        <v>18980</v>
      </c>
      <c r="R24" s="25" t="n">
        <f aca="false">N24*4%</f>
        <v>18980</v>
      </c>
      <c r="S24" s="31" t="n">
        <v>50000</v>
      </c>
      <c r="T24" s="25" t="n">
        <f aca="false">+Q24+R24+S24</f>
        <v>87960</v>
      </c>
      <c r="U24" s="25" t="n">
        <f aca="false">+P24-T24</f>
        <v>386540</v>
      </c>
      <c r="V24" s="33" t="s">
        <v>34</v>
      </c>
    </row>
    <row r="25" customFormat="false" ht="15" hidden="false" customHeight="false" outlineLevel="0" collapsed="false">
      <c r="D25" s="41"/>
      <c r="N25" s="41"/>
      <c r="U25" s="42" t="n">
        <f aca="false">U21+U22+U24</f>
        <v>1574540</v>
      </c>
    </row>
    <row r="28" customFormat="false" ht="15" hidden="false" customHeight="false" outlineLevel="0" collapsed="false">
      <c r="C28" s="41"/>
      <c r="F28" s="43"/>
      <c r="G28" s="41"/>
    </row>
    <row r="29" customFormat="false" ht="25" hidden="false" customHeight="false" outlineLevel="0" collapsed="false">
      <c r="C29" s="41"/>
      <c r="D29" s="44" t="s">
        <v>37</v>
      </c>
      <c r="E29" s="45" t="s">
        <v>8</v>
      </c>
      <c r="F29" s="46" t="s">
        <v>8</v>
      </c>
      <c r="G29" s="45" t="s">
        <v>38</v>
      </c>
      <c r="H29" s="45" t="s">
        <v>38</v>
      </c>
      <c r="L29" s="1"/>
    </row>
    <row r="30" customFormat="false" ht="15" hidden="false" customHeight="false" outlineLevel="0" collapsed="false">
      <c r="B30" s="41"/>
      <c r="C30" s="41"/>
      <c r="D30" s="47" t="s">
        <v>39</v>
      </c>
      <c r="E30" s="48" t="n">
        <f aca="false">H5+H13+H21</f>
        <v>0</v>
      </c>
      <c r="F30" s="48" t="n">
        <f aca="false">I5+I13+I21</f>
        <v>0</v>
      </c>
      <c r="G30" s="49" t="n">
        <f aca="false">J5+J13+J21</f>
        <v>0</v>
      </c>
      <c r="H30" s="49" t="n">
        <f aca="false">K5+K13+K21</f>
        <v>0</v>
      </c>
    </row>
    <row r="31" customFormat="false" ht="15" hidden="false" customHeight="false" outlineLevel="0" collapsed="false">
      <c r="D31" s="47" t="s">
        <v>34</v>
      </c>
      <c r="E31" s="48" t="n">
        <f aca="false">H8+H16+H24</f>
        <v>0</v>
      </c>
      <c r="F31" s="48" t="n">
        <f aca="false">I8+I16+I24</f>
        <v>0</v>
      </c>
      <c r="G31" s="49" t="n">
        <f aca="false">J8+J16+J24</f>
        <v>0</v>
      </c>
      <c r="H31" s="49" t="n">
        <f aca="false">K8+K16+K24</f>
        <v>0</v>
      </c>
    </row>
    <row r="32" customFormat="false" ht="15" hidden="false" customHeight="false" outlineLevel="0" collapsed="false">
      <c r="D32" s="47" t="s">
        <v>40</v>
      </c>
      <c r="E32" s="48" t="n">
        <f aca="false">H6+H14+H22</f>
        <v>0</v>
      </c>
      <c r="F32" s="48" t="n">
        <f aca="false">I6+I14+I22</f>
        <v>0</v>
      </c>
      <c r="G32" s="49" t="n">
        <f aca="false">J6+J14+J22</f>
        <v>0</v>
      </c>
      <c r="H32" s="49" t="n">
        <f aca="false">K6+K14+K22</f>
        <v>0</v>
      </c>
    </row>
    <row r="33" customFormat="false" ht="15" hidden="false" customHeight="false" outlineLevel="0" collapsed="false">
      <c r="D33" s="47" t="s">
        <v>32</v>
      </c>
      <c r="E33" s="48" t="n">
        <f aca="false">H7+H15+H23</f>
        <v>0</v>
      </c>
      <c r="F33" s="48" t="n">
        <f aca="false">I7+I15+I23</f>
        <v>0</v>
      </c>
      <c r="G33" s="49" t="n">
        <f aca="false">J7+J15+J23</f>
        <v>0</v>
      </c>
      <c r="H33" s="49" t="n">
        <f aca="false">K7+K15+K23</f>
        <v>0</v>
      </c>
    </row>
  </sheetData>
  <mergeCells count="48">
    <mergeCell ref="A1:V1"/>
    <mergeCell ref="A2:V2"/>
    <mergeCell ref="A3:A4"/>
    <mergeCell ref="B3:B4"/>
    <mergeCell ref="F3:F4"/>
    <mergeCell ref="H3:H4"/>
    <mergeCell ref="J3:J4"/>
    <mergeCell ref="L3:L4"/>
    <mergeCell ref="M3:M4"/>
    <mergeCell ref="O3:O4"/>
    <mergeCell ref="Q3:Q4"/>
    <mergeCell ref="R3:R4"/>
    <mergeCell ref="S3:S4"/>
    <mergeCell ref="T3:T4"/>
    <mergeCell ref="U3:U4"/>
    <mergeCell ref="V3:V4"/>
    <mergeCell ref="A9:V9"/>
    <mergeCell ref="A10:V10"/>
    <mergeCell ref="A11:A12"/>
    <mergeCell ref="B11:B12"/>
    <mergeCell ref="F11:F12"/>
    <mergeCell ref="H11:H12"/>
    <mergeCell ref="J11:J12"/>
    <mergeCell ref="L11:L12"/>
    <mergeCell ref="M11:M12"/>
    <mergeCell ref="O11:O12"/>
    <mergeCell ref="Q11:Q12"/>
    <mergeCell ref="R11:R12"/>
    <mergeCell ref="S11:S12"/>
    <mergeCell ref="T11:T12"/>
    <mergeCell ref="U11:U12"/>
    <mergeCell ref="V11:V12"/>
    <mergeCell ref="A17:V17"/>
    <mergeCell ref="A18:V18"/>
    <mergeCell ref="A19:A20"/>
    <mergeCell ref="B19:B20"/>
    <mergeCell ref="F19:F20"/>
    <mergeCell ref="H19:H20"/>
    <mergeCell ref="J19:J20"/>
    <mergeCell ref="L19:L20"/>
    <mergeCell ref="M19:M20"/>
    <mergeCell ref="O19:O20"/>
    <mergeCell ref="Q19:Q20"/>
    <mergeCell ref="R19:R20"/>
    <mergeCell ref="S19:S20"/>
    <mergeCell ref="T19:T20"/>
    <mergeCell ref="U19:U20"/>
    <mergeCell ref="V19:V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1520</TotalTime>
  <Application>LibreOffice/25.8.1.1$Windows_X86_64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2025-12-09T21:42:23Z</dcterms:created>
  <dc:creator>AUXILIAR</dc:creator>
  <dc:description/>
  <dc:language>es-CO</dc:language>
  <cp:lastModifiedBy/>
  <dcterms:modified xsi:type="dcterms:W3CDTF">2025-12-11T18:05:30Z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